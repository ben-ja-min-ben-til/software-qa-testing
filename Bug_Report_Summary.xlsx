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<sst xmlns="http://schemas.openxmlformats.org/spreadsheetml/2006/main" count="263" uniqueCount="170">
  <si>
    <t xml:space="preserve">Bug Report Summary — QA Testing</t>
  </si>
  <si>
    <t xml:space="preserve">Prepared by Benjamin Bentil  |  github.com/ben-ja-min-ben-til/software-qa-testing</t>
  </si>
  <si>
    <t xml:space="preserve">Bug ID</t>
  </si>
  <si>
    <t xml:space="preserve">Title</t>
  </si>
  <si>
    <t xml:space="preserve">Module</t>
  </si>
  <si>
    <t xml:space="preserve">Severity</t>
  </si>
  <si>
    <t xml:space="preserve">Priority</t>
  </si>
  <si>
    <t xml:space="preserve">Steps to Reproduce</t>
  </si>
  <si>
    <t xml:space="preserve">Expected Result</t>
  </si>
  <si>
    <t xml:space="preserve">Actual Result</t>
  </si>
  <si>
    <t xml:space="preserve">Status</t>
  </si>
  <si>
    <t xml:space="preserve">Reported By</t>
  </si>
  <si>
    <t xml:space="preserve">Date Found</t>
  </si>
  <si>
    <t xml:space="preserve">Browser/Device</t>
  </si>
  <si>
    <t xml:space="preserve">BUG-001</t>
  </si>
  <si>
    <t xml:space="preserve">Login accepts incorrect password</t>
  </si>
  <si>
    <t xml:space="preserve">Login</t>
  </si>
  <si>
    <t xml:space="preserve">Critical</t>
  </si>
  <si>
    <t xml:space="preserve">P1</t>
  </si>
  <si>
    <t xml:space="preserve">1. Go to login page 2. Enter valid email 3. Enter wrong password 4. Click Login</t>
  </si>
  <si>
    <t xml:space="preserve">System rejects login, shows 'Invalid credentials'</t>
  </si>
  <si>
    <t xml:space="preserve">User is logged in successfully</t>
  </si>
  <si>
    <t xml:space="preserve">Open</t>
  </si>
  <si>
    <t xml:space="preserve">B. Bentil</t>
  </si>
  <si>
    <t xml:space="preserve">2026-09-02</t>
  </si>
  <si>
    <t xml:space="preserve">Chrome (Win)</t>
  </si>
  <si>
    <t xml:space="preserve">BUG-002</t>
  </si>
  <si>
    <t xml:space="preserve">Cart total doesn't update after item removed</t>
  </si>
  <si>
    <t xml:space="preserve">Cart</t>
  </si>
  <si>
    <t xml:space="preserve">High</t>
  </si>
  <si>
    <t xml:space="preserve">1. Add 2 items to cart 2. Remove 1 item</t>
  </si>
  <si>
    <t xml:space="preserve">Total price updates to reflect remaining item</t>
  </si>
  <si>
    <t xml:space="preserve">Total price stays the same</t>
  </si>
  <si>
    <t xml:space="preserve">In Progress</t>
  </si>
  <si>
    <t xml:space="preserve">2026-09-03</t>
  </si>
  <si>
    <t xml:space="preserve">Chrome (Mac)</t>
  </si>
  <si>
    <t xml:space="preserve">BUG-003</t>
  </si>
  <si>
    <t xml:space="preserve">Checkout button unresponsive on mobile</t>
  </si>
  <si>
    <t xml:space="preserve">Checkout</t>
  </si>
  <si>
    <t xml:space="preserve">1. Add item to cart 2. Open checkout on mobile 3. Tap 'Place Order'</t>
  </si>
  <si>
    <t xml:space="preserve">Order is placed and confirmation shown</t>
  </si>
  <si>
    <t xml:space="preserve">Button does not respond, no action occurs</t>
  </si>
  <si>
    <t xml:space="preserve">2026-09-04</t>
  </si>
  <si>
    <t xml:space="preserve">Safari (iOS)</t>
  </si>
  <si>
    <t xml:space="preserve">BUG-004</t>
  </si>
  <si>
    <t xml:space="preserve">Password reset email not received</t>
  </si>
  <si>
    <t xml:space="preserve">Account</t>
  </si>
  <si>
    <t xml:space="preserve">P2</t>
  </si>
  <si>
    <t xml:space="preserve">1. Click 'Forgot password' 2. Enter registered email 3. Submit</t>
  </si>
  <si>
    <t xml:space="preserve">Reset email arrives within 2 minutes</t>
  </si>
  <si>
    <t xml:space="preserve">No email received after 15 minutes</t>
  </si>
  <si>
    <t xml:space="preserve">2026-09-05</t>
  </si>
  <si>
    <t xml:space="preserve">Firefox (Win)</t>
  </si>
  <si>
    <t xml:space="preserve">BUG-005</t>
  </si>
  <si>
    <t xml:space="preserve">Profile picture upload fails for PNG files</t>
  </si>
  <si>
    <t xml:space="preserve">Profile</t>
  </si>
  <si>
    <t xml:space="preserve">Medium</t>
  </si>
  <si>
    <t xml:space="preserve">P3</t>
  </si>
  <si>
    <t xml:space="preserve">1. Go to profile settings 2. Upload a .png image</t>
  </si>
  <si>
    <t xml:space="preserve">Image uploads and displays as avatar</t>
  </si>
  <si>
    <t xml:space="preserve">Error message: 'Unsupported file type'</t>
  </si>
  <si>
    <t xml:space="preserve">Fixed</t>
  </si>
  <si>
    <t xml:space="preserve">2026-09-06</t>
  </si>
  <si>
    <t xml:space="preserve">BUG-006</t>
  </si>
  <si>
    <t xml:space="preserve">Search returns no results for valid product</t>
  </si>
  <si>
    <t xml:space="preserve">Search</t>
  </si>
  <si>
    <t xml:space="preserve">1. Go to search bar 2. Type exact product name 3. Press Enter</t>
  </si>
  <si>
    <t xml:space="preserve">Matching product appears in results</t>
  </si>
  <si>
    <t xml:space="preserve">'No results found' is shown</t>
  </si>
  <si>
    <t xml:space="preserve">2026-09-08</t>
  </si>
  <si>
    <t xml:space="preserve">Edge (Win)</t>
  </si>
  <si>
    <t xml:space="preserve">BUG-007</t>
  </si>
  <si>
    <t xml:space="preserve">Discount code applies twice at checkout</t>
  </si>
  <si>
    <t xml:space="preserve">1. Add item to cart 2. Apply discount code 3. Click Apply again</t>
  </si>
  <si>
    <t xml:space="preserve">Code is applied once only</t>
  </si>
  <si>
    <t xml:space="preserve">Discount is applied twice, total goes negative</t>
  </si>
  <si>
    <t xml:space="preserve">2026-09-09</t>
  </si>
  <si>
    <t xml:space="preserve">BUG-008</t>
  </si>
  <si>
    <t xml:space="preserve">Sign-up form accepts invalid email format</t>
  </si>
  <si>
    <t xml:space="preserve">Sign Up</t>
  </si>
  <si>
    <t xml:space="preserve">1. Go to sign-up page 2. Enter 'test@@test' as email 3. Submit</t>
  </si>
  <si>
    <t xml:space="preserve">Form shows validation error</t>
  </si>
  <si>
    <t xml:space="preserve">Account is created with invalid email</t>
  </si>
  <si>
    <t xml:space="preserve">2026-09-10</t>
  </si>
  <si>
    <t xml:space="preserve">Safari (Mac)</t>
  </si>
  <si>
    <t xml:space="preserve">BUG-009</t>
  </si>
  <si>
    <t xml:space="preserve">Notification badge count incorrect</t>
  </si>
  <si>
    <t xml:space="preserve">Notifications</t>
  </si>
  <si>
    <t xml:space="preserve">Low</t>
  </si>
  <si>
    <t xml:space="preserve">P4</t>
  </si>
  <si>
    <t xml:space="preserve">1. Receive 3 new notifications 2. Check badge icon</t>
  </si>
  <si>
    <t xml:space="preserve">Badge shows '3'</t>
  </si>
  <si>
    <t xml:space="preserve">Badge shows '0' despite new notifications</t>
  </si>
  <si>
    <t xml:space="preserve">2026-09-11</t>
  </si>
  <si>
    <t xml:space="preserve">Chrome (Android)</t>
  </si>
  <si>
    <t xml:space="preserve">BUG-010</t>
  </si>
  <si>
    <t xml:space="preserve">Order history page loads slowly</t>
  </si>
  <si>
    <t xml:space="preserve">1. Log in 2. Navigate to Order History</t>
  </si>
  <si>
    <t xml:space="preserve">Page loads within 2 seconds</t>
  </si>
  <si>
    <t xml:space="preserve">Page takes 8-10 seconds to load</t>
  </si>
  <si>
    <t xml:space="preserve">2026-09-12</t>
  </si>
  <si>
    <t xml:space="preserve">BUG-011</t>
  </si>
  <si>
    <t xml:space="preserve">App crashes when rotating screen during checkout</t>
  </si>
  <si>
    <t xml:space="preserve">1. Begin checkout on mobile 2. Rotate device screen</t>
  </si>
  <si>
    <t xml:space="preserve">App stays responsive in new orientation</t>
  </si>
  <si>
    <t xml:space="preserve">App crashes and returns to home screen</t>
  </si>
  <si>
    <t xml:space="preserve">2026-09-13</t>
  </si>
  <si>
    <t xml:space="preserve">BUG-012</t>
  </si>
  <si>
    <t xml:space="preserve">Currency symbol missing on invoice</t>
  </si>
  <si>
    <t xml:space="preserve">Billing</t>
  </si>
  <si>
    <t xml:space="preserve">1. Complete an order 2. Download invoice PDF</t>
  </si>
  <si>
    <t xml:space="preserve">Invoice shows '$' before each amount</t>
  </si>
  <si>
    <t xml:space="preserve">Amounts shown with no currency symbol</t>
  </si>
  <si>
    <t xml:space="preserve">2026-09-14</t>
  </si>
  <si>
    <t xml:space="preserve">BUG-013</t>
  </si>
  <si>
    <t xml:space="preserve">Logout button doesn't clear session</t>
  </si>
  <si>
    <t xml:space="preserve">1. Log in 2. Click Logout 3. Press browser Back button</t>
  </si>
  <si>
    <t xml:space="preserve">User is redirected to login page</t>
  </si>
  <si>
    <t xml:space="preserve">Previous session page is still accessible</t>
  </si>
  <si>
    <t xml:space="preserve">2026-09-15</t>
  </si>
  <si>
    <t xml:space="preserve">Firefox (Mac)</t>
  </si>
  <si>
    <t xml:space="preserve">BUG-014</t>
  </si>
  <si>
    <t xml:space="preserve">Filter options reset after pagination</t>
  </si>
  <si>
    <t xml:space="preserve">1. Apply a filter on product list 2. Go to page 2</t>
  </si>
  <si>
    <t xml:space="preserve">Filter remains applied on page 2</t>
  </si>
  <si>
    <t xml:space="preserve">Filter resets to default on page 2</t>
  </si>
  <si>
    <t xml:space="preserve">2026-09-16</t>
  </si>
  <si>
    <t xml:space="preserve">BUG-015</t>
  </si>
  <si>
    <t xml:space="preserve">Wishlist icon not clickable on tablet view</t>
  </si>
  <si>
    <t xml:space="preserve">Wishlist</t>
  </si>
  <si>
    <t xml:space="preserve">1. Open site on tablet 2. Tap heart icon on a product</t>
  </si>
  <si>
    <t xml:space="preserve">Item is added to wishlist</t>
  </si>
  <si>
    <t xml:space="preserve">Nothing happens when tapped</t>
  </si>
  <si>
    <t xml:space="preserve">2026-09-17</t>
  </si>
  <si>
    <t xml:space="preserve">Chrome (iPad)</t>
  </si>
  <si>
    <t xml:space="preserve">BUG-016</t>
  </si>
  <si>
    <t xml:space="preserve">Duplicate order placed on double-click</t>
  </si>
  <si>
    <t xml:space="preserve">1. Fill checkout form 2. Double-click 'Place Order' quickly</t>
  </si>
  <si>
    <t xml:space="preserve">Only one order is created</t>
  </si>
  <si>
    <t xml:space="preserve">Two identical orders are created and charged</t>
  </si>
  <si>
    <t xml:space="preserve">2026-09-18</t>
  </si>
  <si>
    <t xml:space="preserve">BUG-017</t>
  </si>
  <si>
    <t xml:space="preserve">Date picker allows past dates for delivery</t>
  </si>
  <si>
    <t xml:space="preserve">1. Go to delivery date selector 2. Select a date before today</t>
  </si>
  <si>
    <t xml:space="preserve">Past dates are disabled</t>
  </si>
  <si>
    <t xml:space="preserve">Past dates can be selected and submitted</t>
  </si>
  <si>
    <t xml:space="preserve">2026-09-19</t>
  </si>
  <si>
    <t xml:space="preserve">BUG-018</t>
  </si>
  <si>
    <t xml:space="preserve">Dark mode toggle doesn't persist after refresh</t>
  </si>
  <si>
    <t xml:space="preserve">Settings</t>
  </si>
  <si>
    <t xml:space="preserve">1. Enable dark mode 2. Refresh the page</t>
  </si>
  <si>
    <t xml:space="preserve">Dark mode remains active</t>
  </si>
  <si>
    <t xml:space="preserve">Page reverts to light mode</t>
  </si>
  <si>
    <t xml:space="preserve">2026-09-20</t>
  </si>
  <si>
    <t xml:space="preserve">BUG-019</t>
  </si>
  <si>
    <t xml:space="preserve">API returns 500 error on empty cart checkout</t>
  </si>
  <si>
    <t xml:space="preserve">API</t>
  </si>
  <si>
    <t xml:space="preserve">POST /api/checkout with an empty cart payload</t>
  </si>
  <si>
    <t xml:space="preserve">API returns 400 with a clear validation error</t>
  </si>
  <si>
    <t xml:space="preserve">API returns 500 Internal Server Error</t>
  </si>
  <si>
    <t xml:space="preserve">2026-09-22</t>
  </si>
  <si>
    <t xml:space="preserve">Postman</t>
  </si>
  <si>
    <t xml:space="preserve">BUG-020</t>
  </si>
  <si>
    <t xml:space="preserve">Terms &amp; Conditions checkbox not required</t>
  </si>
  <si>
    <t xml:space="preserve">1. Go to sign-up page 2. Leave T&amp;C checkbox unchecked 3. Submit</t>
  </si>
  <si>
    <t xml:space="preserve">Form blocks submission until checkbox is checked</t>
  </si>
  <si>
    <t xml:space="preserve">Account is created without agreeing to terms</t>
  </si>
  <si>
    <t xml:space="preserve">2026-09-23</t>
  </si>
  <si>
    <t xml:space="preserve">Summary</t>
  </si>
  <si>
    <t xml:space="preserve">Total Bugs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</si>
</sst>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3B3B3B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B3B3B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FFEB9C"/>
      </patternFill>
    </fill>
    <fill>
      <patternFill patternType="solid">
        <fgColor rgb="FFF2F6FC"/>
        <bgColor rgb="FFFFFFFF"/>
      </patternFill>
    </fill>
    <fill>
      <patternFill patternType="solid">
        <fgColor rgb="FFED7D31"/>
        <bgColor rgb="FFFF8080"/>
      </patternFill>
    </fill>
    <fill>
      <patternFill patternType="solid">
        <fgColor rgb="FFFFEB9C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rgb="FFC6EFCE"/>
        <bgColor rgb="FFCCFFFF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40"/>
    <col collapsed="false" customWidth="true" hidden="false" outlineLevel="0" max="8" min="7" style="0" width="3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5.75" hidden="false" customHeight="true" outlineLevel="0" collapsed="false">
      <c r="A5" s="4" t="s">
        <v>14</v>
      </c>
      <c r="B5" s="5" t="s">
        <v>15</v>
      </c>
      <c r="C5" s="5" t="s">
        <v>16</v>
      </c>
      <c r="D5" s="6" t="s">
        <v>17</v>
      </c>
      <c r="E5" s="4" t="s">
        <v>18</v>
      </c>
      <c r="F5" s="7" t="s">
        <v>19</v>
      </c>
      <c r="G5" s="7" t="s">
        <v>20</v>
      </c>
      <c r="H5" s="7" t="s">
        <v>21</v>
      </c>
      <c r="I5" s="8" t="s">
        <v>22</v>
      </c>
      <c r="J5" s="5" t="s">
        <v>23</v>
      </c>
      <c r="K5" s="4" t="s">
        <v>24</v>
      </c>
      <c r="L5" s="5" t="s">
        <v>25</v>
      </c>
    </row>
    <row r="6" customFormat="false" ht="45.75" hidden="false" customHeight="true" outlineLevel="0" collapsed="false">
      <c r="A6" s="9" t="s">
        <v>26</v>
      </c>
      <c r="B6" s="10" t="s">
        <v>27</v>
      </c>
      <c r="C6" s="10" t="s">
        <v>28</v>
      </c>
      <c r="D6" s="11" t="s">
        <v>29</v>
      </c>
      <c r="E6" s="9" t="s">
        <v>18</v>
      </c>
      <c r="F6" s="12" t="s">
        <v>30</v>
      </c>
      <c r="G6" s="12" t="s">
        <v>31</v>
      </c>
      <c r="H6" s="12" t="s">
        <v>32</v>
      </c>
      <c r="I6" s="13" t="s">
        <v>33</v>
      </c>
      <c r="J6" s="10" t="s">
        <v>23</v>
      </c>
      <c r="K6" s="9" t="s">
        <v>34</v>
      </c>
      <c r="L6" s="10" t="s">
        <v>35</v>
      </c>
    </row>
    <row r="7" customFormat="false" ht="45.75" hidden="false" customHeight="true" outlineLevel="0" collapsed="false">
      <c r="A7" s="4" t="s">
        <v>36</v>
      </c>
      <c r="B7" s="5" t="s">
        <v>37</v>
      </c>
      <c r="C7" s="5" t="s">
        <v>38</v>
      </c>
      <c r="D7" s="6" t="s">
        <v>17</v>
      </c>
      <c r="E7" s="4" t="s">
        <v>18</v>
      </c>
      <c r="F7" s="7" t="s">
        <v>39</v>
      </c>
      <c r="G7" s="7" t="s">
        <v>40</v>
      </c>
      <c r="H7" s="7" t="s">
        <v>41</v>
      </c>
      <c r="I7" s="8" t="s">
        <v>22</v>
      </c>
      <c r="J7" s="5" t="s">
        <v>23</v>
      </c>
      <c r="K7" s="4" t="s">
        <v>42</v>
      </c>
      <c r="L7" s="5" t="s">
        <v>43</v>
      </c>
    </row>
    <row r="8" customFormat="false" ht="45.75" hidden="false" customHeight="true" outlineLevel="0" collapsed="false">
      <c r="A8" s="9" t="s">
        <v>44</v>
      </c>
      <c r="B8" s="10" t="s">
        <v>45</v>
      </c>
      <c r="C8" s="10" t="s">
        <v>46</v>
      </c>
      <c r="D8" s="11" t="s">
        <v>29</v>
      </c>
      <c r="E8" s="9" t="s">
        <v>47</v>
      </c>
      <c r="F8" s="12" t="s">
        <v>48</v>
      </c>
      <c r="G8" s="12" t="s">
        <v>49</v>
      </c>
      <c r="H8" s="12" t="s">
        <v>50</v>
      </c>
      <c r="I8" s="8" t="s">
        <v>22</v>
      </c>
      <c r="J8" s="10" t="s">
        <v>23</v>
      </c>
      <c r="K8" s="9" t="s">
        <v>51</v>
      </c>
      <c r="L8" s="10" t="s">
        <v>52</v>
      </c>
    </row>
    <row r="9" customFormat="false" ht="45.75" hidden="false" customHeight="true" outlineLevel="0" collapsed="false">
      <c r="A9" s="4" t="s">
        <v>53</v>
      </c>
      <c r="B9" s="5" t="s">
        <v>54</v>
      </c>
      <c r="C9" s="5" t="s">
        <v>55</v>
      </c>
      <c r="D9" s="14" t="s">
        <v>56</v>
      </c>
      <c r="E9" s="4" t="s">
        <v>57</v>
      </c>
      <c r="F9" s="7" t="s">
        <v>58</v>
      </c>
      <c r="G9" s="7" t="s">
        <v>59</v>
      </c>
      <c r="H9" s="7" t="s">
        <v>60</v>
      </c>
      <c r="I9" s="15" t="s">
        <v>61</v>
      </c>
      <c r="J9" s="5" t="s">
        <v>23</v>
      </c>
      <c r="K9" s="4" t="s">
        <v>62</v>
      </c>
      <c r="L9" s="5" t="s">
        <v>25</v>
      </c>
    </row>
    <row r="10" customFormat="false" ht="45.75" hidden="false" customHeight="true" outlineLevel="0" collapsed="false">
      <c r="A10" s="9" t="s">
        <v>63</v>
      </c>
      <c r="B10" s="10" t="s">
        <v>64</v>
      </c>
      <c r="C10" s="10" t="s">
        <v>65</v>
      </c>
      <c r="D10" s="11" t="s">
        <v>29</v>
      </c>
      <c r="E10" s="9" t="s">
        <v>47</v>
      </c>
      <c r="F10" s="12" t="s">
        <v>66</v>
      </c>
      <c r="G10" s="12" t="s">
        <v>67</v>
      </c>
      <c r="H10" s="12" t="s">
        <v>68</v>
      </c>
      <c r="I10" s="13" t="s">
        <v>33</v>
      </c>
      <c r="J10" s="10" t="s">
        <v>23</v>
      </c>
      <c r="K10" s="9" t="s">
        <v>69</v>
      </c>
      <c r="L10" s="10" t="s">
        <v>70</v>
      </c>
    </row>
    <row r="11" customFormat="false" ht="45.75" hidden="false" customHeight="true" outlineLevel="0" collapsed="false">
      <c r="A11" s="4" t="s">
        <v>71</v>
      </c>
      <c r="B11" s="5" t="s">
        <v>72</v>
      </c>
      <c r="C11" s="5" t="s">
        <v>38</v>
      </c>
      <c r="D11" s="11" t="s">
        <v>29</v>
      </c>
      <c r="E11" s="4" t="s">
        <v>18</v>
      </c>
      <c r="F11" s="7" t="s">
        <v>73</v>
      </c>
      <c r="G11" s="7" t="s">
        <v>74</v>
      </c>
      <c r="H11" s="7" t="s">
        <v>75</v>
      </c>
      <c r="I11" s="8" t="s">
        <v>22</v>
      </c>
      <c r="J11" s="5" t="s">
        <v>23</v>
      </c>
      <c r="K11" s="4" t="s">
        <v>76</v>
      </c>
      <c r="L11" s="5" t="s">
        <v>35</v>
      </c>
    </row>
    <row r="12" customFormat="false" ht="45.75" hidden="false" customHeight="true" outlineLevel="0" collapsed="false">
      <c r="A12" s="9" t="s">
        <v>77</v>
      </c>
      <c r="B12" s="10" t="s">
        <v>78</v>
      </c>
      <c r="C12" s="10" t="s">
        <v>79</v>
      </c>
      <c r="D12" s="14" t="s">
        <v>56</v>
      </c>
      <c r="E12" s="9" t="s">
        <v>57</v>
      </c>
      <c r="F12" s="12" t="s">
        <v>80</v>
      </c>
      <c r="G12" s="12" t="s">
        <v>81</v>
      </c>
      <c r="H12" s="12" t="s">
        <v>82</v>
      </c>
      <c r="I12" s="15" t="s">
        <v>61</v>
      </c>
      <c r="J12" s="10" t="s">
        <v>23</v>
      </c>
      <c r="K12" s="9" t="s">
        <v>83</v>
      </c>
      <c r="L12" s="10" t="s">
        <v>84</v>
      </c>
    </row>
    <row r="13" customFormat="false" ht="45.75" hidden="false" customHeight="true" outlineLevel="0" collapsed="false">
      <c r="A13" s="4" t="s">
        <v>85</v>
      </c>
      <c r="B13" s="5" t="s">
        <v>86</v>
      </c>
      <c r="C13" s="5" t="s">
        <v>87</v>
      </c>
      <c r="D13" s="16" t="s">
        <v>88</v>
      </c>
      <c r="E13" s="4" t="s">
        <v>89</v>
      </c>
      <c r="F13" s="7" t="s">
        <v>90</v>
      </c>
      <c r="G13" s="7" t="s">
        <v>91</v>
      </c>
      <c r="H13" s="7" t="s">
        <v>92</v>
      </c>
      <c r="I13" s="8" t="s">
        <v>22</v>
      </c>
      <c r="J13" s="5" t="s">
        <v>23</v>
      </c>
      <c r="K13" s="4" t="s">
        <v>93</v>
      </c>
      <c r="L13" s="5" t="s">
        <v>94</v>
      </c>
    </row>
    <row r="14" customFormat="false" ht="45.75" hidden="false" customHeight="true" outlineLevel="0" collapsed="false">
      <c r="A14" s="9" t="s">
        <v>95</v>
      </c>
      <c r="B14" s="10" t="s">
        <v>96</v>
      </c>
      <c r="C14" s="10" t="s">
        <v>46</v>
      </c>
      <c r="D14" s="14" t="s">
        <v>56</v>
      </c>
      <c r="E14" s="9" t="s">
        <v>57</v>
      </c>
      <c r="F14" s="12" t="s">
        <v>97</v>
      </c>
      <c r="G14" s="12" t="s">
        <v>98</v>
      </c>
      <c r="H14" s="12" t="s">
        <v>99</v>
      </c>
      <c r="I14" s="13" t="s">
        <v>33</v>
      </c>
      <c r="J14" s="10" t="s">
        <v>23</v>
      </c>
      <c r="K14" s="9" t="s">
        <v>100</v>
      </c>
      <c r="L14" s="10" t="s">
        <v>25</v>
      </c>
    </row>
    <row r="15" customFormat="false" ht="45.75" hidden="false" customHeight="true" outlineLevel="0" collapsed="false">
      <c r="A15" s="4" t="s">
        <v>101</v>
      </c>
      <c r="B15" s="5" t="s">
        <v>102</v>
      </c>
      <c r="C15" s="5" t="s">
        <v>38</v>
      </c>
      <c r="D15" s="6" t="s">
        <v>17</v>
      </c>
      <c r="E15" s="4" t="s">
        <v>18</v>
      </c>
      <c r="F15" s="7" t="s">
        <v>103</v>
      </c>
      <c r="G15" s="7" t="s">
        <v>104</v>
      </c>
      <c r="H15" s="7" t="s">
        <v>105</v>
      </c>
      <c r="I15" s="8" t="s">
        <v>22</v>
      </c>
      <c r="J15" s="5" t="s">
        <v>23</v>
      </c>
      <c r="K15" s="4" t="s">
        <v>106</v>
      </c>
      <c r="L15" s="5" t="s">
        <v>43</v>
      </c>
    </row>
    <row r="16" customFormat="false" ht="45.75" hidden="false" customHeight="true" outlineLevel="0" collapsed="false">
      <c r="A16" s="9" t="s">
        <v>107</v>
      </c>
      <c r="B16" s="10" t="s">
        <v>108</v>
      </c>
      <c r="C16" s="10" t="s">
        <v>109</v>
      </c>
      <c r="D16" s="16" t="s">
        <v>88</v>
      </c>
      <c r="E16" s="9" t="s">
        <v>89</v>
      </c>
      <c r="F16" s="12" t="s">
        <v>110</v>
      </c>
      <c r="G16" s="12" t="s">
        <v>111</v>
      </c>
      <c r="H16" s="12" t="s">
        <v>112</v>
      </c>
      <c r="I16" s="15" t="s">
        <v>61</v>
      </c>
      <c r="J16" s="10" t="s">
        <v>23</v>
      </c>
      <c r="K16" s="9" t="s">
        <v>113</v>
      </c>
      <c r="L16" s="10" t="s">
        <v>25</v>
      </c>
    </row>
    <row r="17" customFormat="false" ht="45.75" hidden="false" customHeight="true" outlineLevel="0" collapsed="false">
      <c r="A17" s="4" t="s">
        <v>114</v>
      </c>
      <c r="B17" s="5" t="s">
        <v>115</v>
      </c>
      <c r="C17" s="5" t="s">
        <v>46</v>
      </c>
      <c r="D17" s="11" t="s">
        <v>29</v>
      </c>
      <c r="E17" s="4" t="s">
        <v>47</v>
      </c>
      <c r="F17" s="7" t="s">
        <v>116</v>
      </c>
      <c r="G17" s="7" t="s">
        <v>117</v>
      </c>
      <c r="H17" s="7" t="s">
        <v>118</v>
      </c>
      <c r="I17" s="8" t="s">
        <v>22</v>
      </c>
      <c r="J17" s="5" t="s">
        <v>23</v>
      </c>
      <c r="K17" s="4" t="s">
        <v>119</v>
      </c>
      <c r="L17" s="5" t="s">
        <v>120</v>
      </c>
    </row>
    <row r="18" customFormat="false" ht="45.75" hidden="false" customHeight="true" outlineLevel="0" collapsed="false">
      <c r="A18" s="9" t="s">
        <v>121</v>
      </c>
      <c r="B18" s="10" t="s">
        <v>122</v>
      </c>
      <c r="C18" s="10" t="s">
        <v>65</v>
      </c>
      <c r="D18" s="14" t="s">
        <v>56</v>
      </c>
      <c r="E18" s="9" t="s">
        <v>57</v>
      </c>
      <c r="F18" s="12" t="s">
        <v>123</v>
      </c>
      <c r="G18" s="12" t="s">
        <v>124</v>
      </c>
      <c r="H18" s="12" t="s">
        <v>125</v>
      </c>
      <c r="I18" s="13" t="s">
        <v>33</v>
      </c>
      <c r="J18" s="10" t="s">
        <v>23</v>
      </c>
      <c r="K18" s="9" t="s">
        <v>126</v>
      </c>
      <c r="L18" s="10" t="s">
        <v>25</v>
      </c>
    </row>
    <row r="19" customFormat="false" ht="45.75" hidden="false" customHeight="true" outlineLevel="0" collapsed="false">
      <c r="A19" s="4" t="s">
        <v>127</v>
      </c>
      <c r="B19" s="5" t="s">
        <v>128</v>
      </c>
      <c r="C19" s="5" t="s">
        <v>129</v>
      </c>
      <c r="D19" s="14" t="s">
        <v>56</v>
      </c>
      <c r="E19" s="4" t="s">
        <v>57</v>
      </c>
      <c r="F19" s="7" t="s">
        <v>130</v>
      </c>
      <c r="G19" s="7" t="s">
        <v>131</v>
      </c>
      <c r="H19" s="7" t="s">
        <v>132</v>
      </c>
      <c r="I19" s="8" t="s">
        <v>22</v>
      </c>
      <c r="J19" s="5" t="s">
        <v>23</v>
      </c>
      <c r="K19" s="4" t="s">
        <v>133</v>
      </c>
      <c r="L19" s="5" t="s">
        <v>134</v>
      </c>
    </row>
    <row r="20" customFormat="false" ht="45.75" hidden="false" customHeight="true" outlineLevel="0" collapsed="false">
      <c r="A20" s="9" t="s">
        <v>135</v>
      </c>
      <c r="B20" s="10" t="s">
        <v>136</v>
      </c>
      <c r="C20" s="10" t="s">
        <v>38</v>
      </c>
      <c r="D20" s="6" t="s">
        <v>17</v>
      </c>
      <c r="E20" s="9" t="s">
        <v>18</v>
      </c>
      <c r="F20" s="12" t="s">
        <v>137</v>
      </c>
      <c r="G20" s="12" t="s">
        <v>138</v>
      </c>
      <c r="H20" s="12" t="s">
        <v>139</v>
      </c>
      <c r="I20" s="8" t="s">
        <v>22</v>
      </c>
      <c r="J20" s="10" t="s">
        <v>23</v>
      </c>
      <c r="K20" s="9" t="s">
        <v>140</v>
      </c>
      <c r="L20" s="10" t="s">
        <v>25</v>
      </c>
    </row>
    <row r="21" customFormat="false" ht="45.75" hidden="false" customHeight="true" outlineLevel="0" collapsed="false">
      <c r="A21" s="4" t="s">
        <v>141</v>
      </c>
      <c r="B21" s="5" t="s">
        <v>142</v>
      </c>
      <c r="C21" s="5" t="s">
        <v>38</v>
      </c>
      <c r="D21" s="14" t="s">
        <v>56</v>
      </c>
      <c r="E21" s="4" t="s">
        <v>47</v>
      </c>
      <c r="F21" s="7" t="s">
        <v>143</v>
      </c>
      <c r="G21" s="7" t="s">
        <v>144</v>
      </c>
      <c r="H21" s="7" t="s">
        <v>145</v>
      </c>
      <c r="I21" s="15" t="s">
        <v>61</v>
      </c>
      <c r="J21" s="5" t="s">
        <v>23</v>
      </c>
      <c r="K21" s="4" t="s">
        <v>146</v>
      </c>
      <c r="L21" s="5" t="s">
        <v>70</v>
      </c>
    </row>
    <row r="22" customFormat="false" ht="45.75" hidden="false" customHeight="true" outlineLevel="0" collapsed="false">
      <c r="A22" s="9" t="s">
        <v>147</v>
      </c>
      <c r="B22" s="10" t="s">
        <v>148</v>
      </c>
      <c r="C22" s="10" t="s">
        <v>149</v>
      </c>
      <c r="D22" s="16" t="s">
        <v>88</v>
      </c>
      <c r="E22" s="9" t="s">
        <v>89</v>
      </c>
      <c r="F22" s="12" t="s">
        <v>150</v>
      </c>
      <c r="G22" s="12" t="s">
        <v>151</v>
      </c>
      <c r="H22" s="12" t="s">
        <v>152</v>
      </c>
      <c r="I22" s="8" t="s">
        <v>22</v>
      </c>
      <c r="J22" s="10" t="s">
        <v>23</v>
      </c>
      <c r="K22" s="9" t="s">
        <v>153</v>
      </c>
      <c r="L22" s="10" t="s">
        <v>35</v>
      </c>
    </row>
    <row r="23" customFormat="false" ht="45.75" hidden="false" customHeight="true" outlineLevel="0" collapsed="false">
      <c r="A23" s="4" t="s">
        <v>154</v>
      </c>
      <c r="B23" s="5" t="s">
        <v>155</v>
      </c>
      <c r="C23" s="5" t="s">
        <v>156</v>
      </c>
      <c r="D23" s="6" t="s">
        <v>17</v>
      </c>
      <c r="E23" s="4" t="s">
        <v>18</v>
      </c>
      <c r="F23" s="7" t="s">
        <v>157</v>
      </c>
      <c r="G23" s="7" t="s">
        <v>158</v>
      </c>
      <c r="H23" s="7" t="s">
        <v>159</v>
      </c>
      <c r="I23" s="8" t="s">
        <v>22</v>
      </c>
      <c r="J23" s="5" t="s">
        <v>23</v>
      </c>
      <c r="K23" s="4" t="s">
        <v>160</v>
      </c>
      <c r="L23" s="5" t="s">
        <v>161</v>
      </c>
    </row>
    <row r="24" customFormat="false" ht="45.75" hidden="false" customHeight="true" outlineLevel="0" collapsed="false">
      <c r="A24" s="9" t="s">
        <v>162</v>
      </c>
      <c r="B24" s="10" t="s">
        <v>163</v>
      </c>
      <c r="C24" s="10" t="s">
        <v>79</v>
      </c>
      <c r="D24" s="11" t="s">
        <v>29</v>
      </c>
      <c r="E24" s="9" t="s">
        <v>47</v>
      </c>
      <c r="F24" s="12" t="s">
        <v>164</v>
      </c>
      <c r="G24" s="12" t="s">
        <v>165</v>
      </c>
      <c r="H24" s="12" t="s">
        <v>166</v>
      </c>
      <c r="I24" s="13" t="s">
        <v>33</v>
      </c>
      <c r="J24" s="10" t="s">
        <v>23</v>
      </c>
      <c r="K24" s="9" t="s">
        <v>167</v>
      </c>
      <c r="L24" s="10" t="s">
        <v>25</v>
      </c>
    </row>
    <row r="27" customFormat="false" ht="15" hidden="false" customHeight="false" outlineLevel="0" collapsed="false">
      <c r="A27" s="17" t="s">
        <v>168</v>
      </c>
      <c r="B27" s="17"/>
    </row>
    <row r="28" customFormat="false" ht="15" hidden="false" customHeight="false" outlineLevel="0" collapsed="false">
      <c r="A28" s="18" t="s">
        <v>169</v>
      </c>
      <c r="B28" s="19" t="n">
        <f aca="false">COUNTA(A5:A24)</f>
        <v>20</v>
      </c>
    </row>
    <row r="29" customFormat="false" ht="15" hidden="false" customHeight="false" outlineLevel="0" collapsed="false">
      <c r="A29" s="18" t="s">
        <v>17</v>
      </c>
      <c r="B29" s="19" t="n">
        <f aca="false">COUNTIF(D5:D24,"Critical")</f>
        <v>5</v>
      </c>
    </row>
    <row r="30" customFormat="false" ht="15" hidden="false" customHeight="false" outlineLevel="0" collapsed="false">
      <c r="A30" s="18" t="s">
        <v>29</v>
      </c>
      <c r="B30" s="19" t="n">
        <f aca="false">COUNTIF(D5:D24,"High")</f>
        <v>6</v>
      </c>
    </row>
    <row r="31" customFormat="false" ht="15" hidden="false" customHeight="false" outlineLevel="0" collapsed="false">
      <c r="A31" s="18" t="s">
        <v>56</v>
      </c>
      <c r="B31" s="19" t="n">
        <f aca="false">COUNTIF(D5:D24,"Medium")</f>
        <v>6</v>
      </c>
    </row>
    <row r="32" customFormat="false" ht="15" hidden="false" customHeight="false" outlineLevel="0" collapsed="false">
      <c r="A32" s="18" t="s">
        <v>88</v>
      </c>
      <c r="B32" s="19" t="n">
        <f aca="false">COUNTIF(D5:D24,"Low")</f>
        <v>3</v>
      </c>
    </row>
    <row r="33" customFormat="false" ht="15" hidden="false" customHeight="false" outlineLevel="0" collapsed="false">
      <c r="A33" s="18" t="s">
        <v>22</v>
      </c>
      <c r="B33" s="19" t="n">
        <f aca="false">COUNTIF(I5:I24,"Open")</f>
        <v>11</v>
      </c>
    </row>
    <row r="34" customFormat="false" ht="15" hidden="false" customHeight="false" outlineLevel="0" collapsed="false">
      <c r="A34" s="18" t="s">
        <v>33</v>
      </c>
      <c r="B34" s="19" t="n">
        <f aca="false">COUNTIF(I5:I24,"In Progress")</f>
        <v>5</v>
      </c>
    </row>
    <row r="35" customFormat="false" ht="15" hidden="false" customHeight="false" outlineLevel="0" collapsed="false">
      <c r="A35" s="18" t="s">
        <v>61</v>
      </c>
      <c r="B35" s="19" t="n">
        <f aca="false">COUNTIF(I5:I24,"Fixed")</f>
        <v>4</v>
      </c>
    </row>
  </sheetData>
  <mergeCells count="3">
    <mergeCell ref="A1:L1"/>
    <mergeCell ref="A2:L2"/>
    <mergeCell ref="A27:B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2026-10-03T05:18:39Z</dcterms:created>
  <dc:creator>openpyxl</dc:creator>
  <dc:description/>
  <dc:language>en-US</dc:language>
  <cp:lastModifiedBy/>
  <dcterms:modified xsi:type="dcterms:W3CDTF">2026-10-03T05:18:39Z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